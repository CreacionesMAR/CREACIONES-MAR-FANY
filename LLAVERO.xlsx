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1d0fb5587dc253/Documentos/"/>
    </mc:Choice>
  </mc:AlternateContent>
  <xr:revisionPtr revIDLastSave="0" documentId="8_{41F6C285-276A-4D2A-BADF-6C37421A5936}" xr6:coauthVersionLast="47" xr6:coauthVersionMax="47" xr10:uidLastSave="{00000000-0000-0000-0000-000000000000}"/>
  <bookViews>
    <workbookView xWindow="-120" yWindow="-120" windowWidth="20730" windowHeight="11040" xr2:uid="{C84309B4-C53C-494A-A97D-9E0D0AC12C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1" l="1"/>
  <c r="J15" i="1"/>
  <c r="J16" i="1"/>
  <c r="I14" i="1"/>
  <c r="I15" i="1"/>
  <c r="I16" i="1"/>
  <c r="D5" i="1"/>
  <c r="D6" i="1"/>
  <c r="D7" i="1"/>
  <c r="F11" i="1"/>
  <c r="F12" i="1"/>
  <c r="F13" i="1"/>
  <c r="F14" i="1"/>
  <c r="F15" i="1"/>
  <c r="F16" i="1"/>
  <c r="G11" i="1"/>
  <c r="G12" i="1"/>
  <c r="G13" i="1"/>
  <c r="G14" i="1"/>
  <c r="G15" i="1"/>
  <c r="G16" i="1"/>
  <c r="H12" i="1" l="1"/>
  <c r="I12" i="1" s="1"/>
  <c r="J12" i="1" s="1"/>
  <c r="H15" i="1"/>
  <c r="H13" i="1"/>
  <c r="I13" i="1" s="1"/>
  <c r="J13" i="1" s="1"/>
  <c r="H14" i="1"/>
  <c r="H16" i="1"/>
  <c r="H11" i="1"/>
  <c r="I11" i="1" s="1"/>
  <c r="J11" i="1" s="1"/>
  <c r="F2" i="1" l="1"/>
  <c r="F4" i="1" s="1"/>
</calcChain>
</file>

<file path=xl/sharedStrings.xml><?xml version="1.0" encoding="utf-8"?>
<sst xmlns="http://schemas.openxmlformats.org/spreadsheetml/2006/main" count="29" uniqueCount="28">
  <si>
    <t>COTIZACION</t>
  </si>
  <si>
    <t>PROYECTO</t>
  </si>
  <si>
    <t>PIEZAS</t>
  </si>
  <si>
    <t xml:space="preserve">CABEN </t>
  </si>
  <si>
    <t xml:space="preserve">FINAL </t>
  </si>
  <si>
    <t>MATERIAL</t>
  </si>
  <si>
    <t>LARGO</t>
  </si>
  <si>
    <t xml:space="preserve"> ANCHO </t>
  </si>
  <si>
    <t xml:space="preserve">PRECIO X PZ </t>
  </si>
  <si>
    <t>PRECIO</t>
  </si>
  <si>
    <t>IMPRESION</t>
  </si>
  <si>
    <t xml:space="preserve">PRECIO </t>
  </si>
  <si>
    <t xml:space="preserve">CANTIDAD </t>
  </si>
  <si>
    <t xml:space="preserve">SUMA MATERIAL </t>
  </si>
  <si>
    <t>MULTIPLICADO</t>
  </si>
  <si>
    <t>POR</t>
  </si>
  <si>
    <t>FINAL</t>
  </si>
  <si>
    <t>L (270mm)</t>
  </si>
  <si>
    <t>A (210mm)</t>
  </si>
  <si>
    <t>Nombre</t>
  </si>
  <si>
    <t>nfc</t>
  </si>
  <si>
    <t>llavero</t>
  </si>
  <si>
    <t xml:space="preserve">FOTOGRAFICO </t>
  </si>
  <si>
    <t xml:space="preserve">HOLOGRAFICO </t>
  </si>
  <si>
    <t>PRECIO DE MAYOREO</t>
  </si>
  <si>
    <t>PRECIO POR PIEZA</t>
  </si>
  <si>
    <t>LLAVERO</t>
  </si>
  <si>
    <t>COTIZ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</si>
</sst>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$&quot;#,##0;[Red]\-&quot;$&quot;#,##0"/>
    <numFmt numFmtId="44" formatCode="_-&quot;$&quot;* #,##0.00_-;\-&quot;$&quot;* #,##0.00_-;_-&quot;$&quot;* &quot;-&quot;??_-;_-@_-"/>
    <numFmt numFmtId="164" formatCode="_-&quot;$&quot;* #,##0.0_-;\-&quot;$&quot;* #,##0.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4"/>
      <name val="Arial"/>
      <family val="2"/>
    </font>
    <font>
      <sz val="11"/>
      <color theme="4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2">
    <xf numFmtId="0" fontId="0" fillId="0" borderId="0" xfId="0"/>
    <xf numFmtId="0" fontId="0" fillId="3" borderId="0" xfId="0" applyFill="1"/>
    <xf numFmtId="0" fontId="0" fillId="4" borderId="0" xfId="0" applyFill="1"/>
    <xf numFmtId="0" fontId="2" fillId="0" borderId="1" xfId="2" applyAlignment="1">
      <alignment horizontal="center" vertical="center"/>
    </xf>
    <xf numFmtId="0" fontId="2" fillId="0" borderId="1" xfId="2" applyAlignment="1">
      <alignment horizontal="center" vertical="center" wrapText="1"/>
    </xf>
    <xf numFmtId="0" fontId="2" fillId="5" borderId="1" xfId="2" applyFill="1" applyAlignment="1">
      <alignment horizontal="center"/>
    </xf>
    <xf numFmtId="0" fontId="2" fillId="0" borderId="1" xfId="2" applyAlignment="1">
      <alignment horizontal="center"/>
    </xf>
    <xf numFmtId="164" fontId="2" fillId="0" borderId="1" xfId="2" applyNumberFormat="1" applyAlignment="1">
      <alignment horizontal="center"/>
    </xf>
    <xf numFmtId="0" fontId="3" fillId="0" borderId="3" xfId="0" applyFont="1" applyBorder="1" applyAlignment="1">
      <alignment horizontal="center"/>
    </xf>
    <xf numFmtId="44" fontId="4" fillId="2" borderId="4" xfId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0" applyFont="1"/>
    <xf numFmtId="164" fontId="7" fillId="0" borderId="2" xfId="1" applyNumberFormat="1" applyFont="1" applyBorder="1" applyAlignment="1"/>
    <xf numFmtId="0" fontId="3" fillId="0" borderId="0" xfId="0" applyFont="1" applyAlignment="1">
      <alignment horizontal="center"/>
    </xf>
    <xf numFmtId="2" fontId="3" fillId="0" borderId="2" xfId="0" applyNumberFormat="1" applyFont="1" applyBorder="1" applyAlignment="1">
      <alignment horizontal="center"/>
    </xf>
    <xf numFmtId="164" fontId="7" fillId="6" borderId="2" xfId="1" applyNumberFormat="1" applyFont="1" applyFill="1" applyBorder="1" applyAlignment="1"/>
    <xf numFmtId="0" fontId="0" fillId="3" borderId="0" xfId="0" applyFill="1" applyAlignment="1">
      <alignment horizontal="center"/>
    </xf>
    <xf numFmtId="6" fontId="0" fillId="0" borderId="0" xfId="0" applyNumberFormat="1"/>
    <xf numFmtId="0" fontId="0" fillId="7" borderId="0" xfId="0" applyFill="1" applyAlignment="1">
      <alignment horizontal="center"/>
    </xf>
  </cellXfs>
  <cellStyles count="3">
    <cellStyle name="Celda vinculada" xfId="2" builtinId="24"/>
    <cellStyle name="Moneda" xfId="1" builtinId="4"/>
    <cellStyle name="Normal" xfId="0" builtinId="0"/>
  </cellStyles>
  <dxfs count="20">
    <dxf>
      <numFmt numFmtId="164" formatCode="_-&quot;$&quot;* #,##0.0_-;\-&quot;$&quot;* #,##0.0_-;_-&quot;$&quot;* &quot;-&quot;??_-;_-@_-"/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_-&quot;$&quot;* #,##0.0_-;\-&quot;$&quot;* #,##0.0_-;_-&quot;$&quot;* &quot;-&quot;??_-;_-@_-"/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Arial"/>
        <family val="2"/>
        <scheme val="none"/>
      </font>
      <numFmt numFmtId="164" formatCode="_-&quot;$&quot;* #,##0.0_-;\-&quot;$&quot;* #,##0.0_-;_-&quot;$&quot;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 outline="0">
        <bottom style="thin">
          <color theme="4"/>
        </bottom>
      </border>
    </dxf>
    <dxf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5"/>
        </top>
      </border>
    </dxf>
    <dxf>
      <border outline="0">
        <bottom style="medium">
          <color theme="5"/>
        </bottom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la 1" pivot="0" count="1" xr9:uid="{508186F5-09A9-4C79-A57F-CE6BDB4AB5C5}">
      <tableStyleElement type="wholeTabl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78C5C2-8DCB-4F9F-B8DD-CE0F49B786F1}" name="Tabla1" displayName="Tabla1" ref="B1:C2" headerRowCount="0" totalsRowShown="0">
  <tableColumns count="2">
    <tableColumn id="1" xr3:uid="{8AB35CCD-2F11-4E64-8F54-E724CEE1812F}" name="Columna1"/>
    <tableColumn id="2" xr3:uid="{0C6AF01B-EF87-4232-8024-410CCACA1CE8}" name="Columna2"/>
  </tableColumns>
  <tableStyleInfo name="Estilo de tabla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AF53FC-D5A5-4A7B-8762-253C69E518B1}" name="Tabla2" displayName="Tabla2" ref="B10:J16" totalsRowShown="0" headerRowDxfId="18" dataDxfId="17" headerRowBorderDxfId="15" tableBorderDxfId="16" totalsRowBorderDxfId="14" headerRowCellStyle="Celda vinculada" dataCellStyle="Celda vinculada">
  <autoFilter ref="B10:J16" xr:uid="{2CAF53FC-D5A5-4A7B-8762-253C69E518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68EC0B4-E992-4D92-802B-44597C7BA3C9}" name="PRECIO" dataDxfId="13" dataCellStyle="Celda vinculada"/>
    <tableColumn id="2" xr3:uid="{6772FE24-ED53-4773-9BEF-1CDB0807F34A}" name="L (270mm)" dataDxfId="12" dataCellStyle="Celda vinculada"/>
    <tableColumn id="3" xr3:uid="{D4C008EA-B91C-4489-ADB9-FCBD73A2D9B6}" name="A (210mm)" dataDxfId="11" dataCellStyle="Celda vinculada"/>
    <tableColumn id="4" xr3:uid="{93182AD1-8145-4F79-9CA7-F7697AA78DA0}" name="PIEZAS" dataDxfId="10" dataCellStyle="Celda vinculada"/>
    <tableColumn id="5" xr3:uid="{3AAFB37A-2A72-49AA-A974-C0CA4F2CDB7A}" name="LARGO" dataDxfId="5" dataCellStyle="Celda vinculada">
      <calculatedColumnFormula>IFERROR(INT(270/Tabla2[[#This Row],[L (270mm)]]),0)</calculatedColumnFormula>
    </tableColumn>
    <tableColumn id="6" xr3:uid="{95DF98E1-D195-49B9-BB61-8B57319C3880}" name=" ANCHO " dataDxfId="6" dataCellStyle="Celda vinculada">
      <calculatedColumnFormula>IFERROR(INT(210/Tabla2[[#This Row],[A (210mm)]]),0)</calculatedColumnFormula>
    </tableColumn>
    <tableColumn id="7" xr3:uid="{83FF4FA1-BAE9-4D4C-9149-CE314F942D6C}" name="CABEN " dataDxfId="9" dataCellStyle="Celda vinculada">
      <calculatedColumnFormula>Tabla2[[#This Row],[LARGO]]*Tabla2[[#This Row],[ ANCHO ]]</calculatedColumnFormula>
    </tableColumn>
    <tableColumn id="8" xr3:uid="{BBB46C47-4FC6-4F7B-AA32-42403FE72958}" name="PRECIO X PZ " dataDxfId="0" dataCellStyle="Celda vinculada">
      <calculatedColumnFormula>ROUNDUP(IFERROR(ROUND((Tabla2[[#This Row],[PRECIO]]/Tabla2[[#This Row],[CABEN ]]),1),0),0)</calculatedColumnFormula>
    </tableColumn>
    <tableColumn id="9" xr3:uid="{1BC65242-EEAA-4B4D-A633-C6F65331E068}" name="FINAL " dataDxfId="1" dataCellStyle="Celda vinculada">
      <calculatedColumnFormula>ROUNDUP(Tabla2[[#This Row],[PIEZAS]]*Tabla2[[#This Row],[PRECIO X PZ ]],0)</calculatedColumnFormula>
    </tableColumn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B01949-ABA2-4125-98BE-012D1850BFA5}" name="Tabla4" displayName="Tabla4" ref="A4:D7" headerRowCount="0" totalsRowShown="0" tableBorderDxfId="8">
  <tableColumns count="4">
    <tableColumn id="5" xr3:uid="{2B67990B-48E2-46E8-B6EE-E8FFECECB986}" name="Columna4" dataDxfId="4" dataCellStyle="Moneda"/>
    <tableColumn id="1" xr3:uid="{DEC2F76D-D7EF-4412-93EA-5E2924BA3EF5}" name="Columna1"/>
    <tableColumn id="2" xr3:uid="{0A72D511-70AB-41C1-82D1-25EB162D557D}" name="Columna2"/>
    <tableColumn id="3" xr3:uid="{FC719087-175E-4744-B2FF-FA6B24A2359B}" name="Columna3" dataDxfId="7" dataCellStyle="Moneda"/>
  </tableColumns>
  <tableStyleInfo name="TableStyleLight16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1100-2970-4BC2-B826-7ED21346CEDF}">
  <dimension ref="A1:J17"/>
  <sheetViews>
    <sheetView tabSelected="1" workbookViewId="0">
      <selection activeCell="L11" sqref="L11"/>
    </sheetView>
  </sheetViews>
  <sheetFormatPr baseColWidth="10" defaultRowHeight="15" x14ac:dyDescent="0.25"/>
  <cols>
    <col min="1" max="1" width="14.85546875" customWidth="1"/>
    <col min="2" max="2" width="13.85546875" customWidth="1"/>
    <col min="3" max="3" width="23.5703125" customWidth="1"/>
    <col min="4" max="8" width="12.140625" customWidth="1"/>
    <col min="9" max="9" width="17.140625" customWidth="1"/>
    <col min="10" max="10" width="13.140625" customWidth="1"/>
  </cols>
  <sheetData>
    <row r="1" spans="1:10" x14ac:dyDescent="0.25">
      <c r="B1" s="1" t="s">
        <v>0</v>
      </c>
      <c r="C1" t="s">
        <v>27</v>
      </c>
      <c r="F1" s="12" t="s">
        <v>13</v>
      </c>
      <c r="G1" s="13"/>
      <c r="H1" s="14" t="s">
        <v>14</v>
      </c>
    </row>
    <row r="2" spans="1:10" x14ac:dyDescent="0.25">
      <c r="B2" s="2" t="s">
        <v>1</v>
      </c>
      <c r="C2" t="s">
        <v>26</v>
      </c>
      <c r="F2" s="15">
        <f>SUM(SUM(Tabla2[[#All],[FINAL ]])+SUM(Tabla4[[#All],[Columna3]]))</f>
        <v>9</v>
      </c>
      <c r="G2" s="13"/>
      <c r="H2" s="16" t="s">
        <v>15</v>
      </c>
    </row>
    <row r="3" spans="1:10" x14ac:dyDescent="0.25">
      <c r="F3" s="12" t="s">
        <v>4</v>
      </c>
      <c r="G3" s="13"/>
      <c r="H3" s="17">
        <v>3</v>
      </c>
    </row>
    <row r="4" spans="1:10" ht="15.75" thickBot="1" x14ac:dyDescent="0.3">
      <c r="A4" s="8" t="s">
        <v>19</v>
      </c>
      <c r="B4" s="8" t="s">
        <v>11</v>
      </c>
      <c r="C4" s="8" t="s">
        <v>12</v>
      </c>
      <c r="D4" s="8" t="s">
        <v>16</v>
      </c>
      <c r="F4" s="18">
        <f>F2*H3</f>
        <v>27</v>
      </c>
      <c r="G4" s="13"/>
      <c r="H4" s="13"/>
    </row>
    <row r="5" spans="1:10" x14ac:dyDescent="0.25">
      <c r="A5" s="9" t="s">
        <v>20</v>
      </c>
      <c r="B5" s="9">
        <v>3</v>
      </c>
      <c r="C5" s="10">
        <v>1</v>
      </c>
      <c r="D5" s="11">
        <f>Tabla4[[#This Row],[Columna1]]*Tabla4[[#This Row],[Columna2]]</f>
        <v>3</v>
      </c>
      <c r="G5" s="13"/>
    </row>
    <row r="6" spans="1:10" x14ac:dyDescent="0.25">
      <c r="A6" s="9" t="s">
        <v>21</v>
      </c>
      <c r="B6" s="9">
        <v>3</v>
      </c>
      <c r="C6" s="10">
        <v>1</v>
      </c>
      <c r="D6" s="11">
        <f>Tabla4[[#This Row],[Columna1]]*Tabla4[[#This Row],[Columna2]]</f>
        <v>3</v>
      </c>
      <c r="F6" s="19" t="s">
        <v>24</v>
      </c>
      <c r="G6" s="19"/>
      <c r="H6" s="20">
        <v>30</v>
      </c>
    </row>
    <row r="7" spans="1:10" x14ac:dyDescent="0.25">
      <c r="A7" s="9"/>
      <c r="B7" s="9"/>
      <c r="C7" s="10"/>
      <c r="D7" s="11">
        <f>Tabla4[[#This Row],[Columna1]]*Tabla4[[#This Row],[Columna2]]</f>
        <v>0</v>
      </c>
      <c r="F7" s="21" t="s">
        <v>25</v>
      </c>
      <c r="G7" s="21"/>
      <c r="H7" s="20">
        <v>50</v>
      </c>
    </row>
    <row r="10" spans="1:10" ht="15.75" thickBot="1" x14ac:dyDescent="0.3">
      <c r="A10" s="3" t="s">
        <v>5</v>
      </c>
      <c r="B10" s="3" t="s">
        <v>9</v>
      </c>
      <c r="C10" s="3" t="s">
        <v>17</v>
      </c>
      <c r="D10" s="3" t="s">
        <v>18</v>
      </c>
      <c r="E10" s="3" t="s">
        <v>2</v>
      </c>
      <c r="F10" s="3" t="s">
        <v>6</v>
      </c>
      <c r="G10" s="3" t="s">
        <v>7</v>
      </c>
      <c r="H10" s="3" t="s">
        <v>3</v>
      </c>
      <c r="I10" s="4" t="s">
        <v>8</v>
      </c>
      <c r="J10" s="3" t="s">
        <v>4</v>
      </c>
    </row>
    <row r="11" spans="1:10" ht="16.5" thickTop="1" thickBot="1" x14ac:dyDescent="0.3">
      <c r="A11" s="5" t="s">
        <v>10</v>
      </c>
      <c r="B11" s="6">
        <v>10</v>
      </c>
      <c r="C11" s="6">
        <v>50</v>
      </c>
      <c r="D11" s="6">
        <v>35</v>
      </c>
      <c r="E11" s="6">
        <v>1</v>
      </c>
      <c r="F11" s="6">
        <f>IFERROR(INT(270/Tabla2[[#This Row],[L (270mm)]]),0)</f>
        <v>5</v>
      </c>
      <c r="G11" s="6">
        <f>IFERROR(INT(210/Tabla2[[#This Row],[A (210mm)]]),0)</f>
        <v>6</v>
      </c>
      <c r="H11" s="6">
        <f>Tabla2[[#This Row],[LARGO]]*Tabla2[[#This Row],[ ANCHO ]]</f>
        <v>30</v>
      </c>
      <c r="I11" s="7">
        <f>ROUNDUP(IFERROR(ROUND((Tabla2[[#This Row],[PRECIO]]/Tabla2[[#This Row],[CABEN ]]),1),0),0)</f>
        <v>1</v>
      </c>
      <c r="J11" s="7">
        <f>ROUNDUP(Tabla2[[#This Row],[PIEZAS]]*Tabla2[[#This Row],[PRECIO X PZ ]],0)</f>
        <v>1</v>
      </c>
    </row>
    <row r="12" spans="1:10" ht="16.5" thickTop="1" thickBot="1" x14ac:dyDescent="0.3">
      <c r="A12" s="5" t="s">
        <v>22</v>
      </c>
      <c r="B12" s="6">
        <v>10</v>
      </c>
      <c r="C12" s="6">
        <v>50</v>
      </c>
      <c r="D12" s="6">
        <v>35</v>
      </c>
      <c r="E12" s="6">
        <v>1</v>
      </c>
      <c r="F12" s="6">
        <f>IFERROR(INT(270/Tabla2[[#This Row],[L (270mm)]]),0)</f>
        <v>5</v>
      </c>
      <c r="G12" s="6">
        <f>IFERROR(INT(210/Tabla2[[#This Row],[A (210mm)]]),0)</f>
        <v>6</v>
      </c>
      <c r="H12" s="6">
        <f>Tabla2[[#This Row],[LARGO]]*Tabla2[[#This Row],[ ANCHO ]]</f>
        <v>30</v>
      </c>
      <c r="I12" s="7">
        <f>ROUNDUP(IFERROR(ROUND((Tabla2[[#This Row],[PRECIO]]/Tabla2[[#This Row],[CABEN ]]),1),0),0)</f>
        <v>1</v>
      </c>
      <c r="J12" s="7">
        <f>ROUNDUP(Tabla2[[#This Row],[PIEZAS]]*Tabla2[[#This Row],[PRECIO X PZ ]],0)</f>
        <v>1</v>
      </c>
    </row>
    <row r="13" spans="1:10" ht="16.5" thickTop="1" thickBot="1" x14ac:dyDescent="0.3">
      <c r="A13" s="5" t="s">
        <v>23</v>
      </c>
      <c r="B13" s="6">
        <v>10</v>
      </c>
      <c r="C13" s="6">
        <v>50</v>
      </c>
      <c r="D13" s="6">
        <v>35</v>
      </c>
      <c r="E13" s="6">
        <v>1</v>
      </c>
      <c r="F13" s="6">
        <f>IFERROR(INT(270/Tabla2[[#This Row],[L (270mm)]]),0)</f>
        <v>5</v>
      </c>
      <c r="G13" s="6">
        <f>IFERROR(INT(210/Tabla2[[#This Row],[A (210mm)]]),0)</f>
        <v>6</v>
      </c>
      <c r="H13" s="6">
        <f>Tabla2[[#This Row],[LARGO]]*Tabla2[[#This Row],[ ANCHO ]]</f>
        <v>30</v>
      </c>
      <c r="I13" s="7">
        <f>ROUNDUP(IFERROR(ROUND((Tabla2[[#This Row],[PRECIO]]/Tabla2[[#This Row],[CABEN ]]),1),0),0)</f>
        <v>1</v>
      </c>
      <c r="J13" s="7">
        <f>ROUNDUP(Tabla2[[#This Row],[PIEZAS]]*Tabla2[[#This Row],[PRECIO X PZ ]],0)</f>
        <v>1</v>
      </c>
    </row>
    <row r="14" spans="1:10" ht="16.5" thickTop="1" thickBot="1" x14ac:dyDescent="0.3">
      <c r="A14" s="5"/>
      <c r="B14" s="6"/>
      <c r="C14" s="6"/>
      <c r="D14" s="6"/>
      <c r="E14" s="6"/>
      <c r="F14" s="6">
        <f>IFERROR(INT(270/Tabla2[[#This Row],[L (270mm)]]),0)</f>
        <v>0</v>
      </c>
      <c r="G14" s="6">
        <f>IFERROR(INT(210/Tabla2[[#This Row],[A (210mm)]]),0)</f>
        <v>0</v>
      </c>
      <c r="H14" s="6">
        <f>Tabla2[[#This Row],[LARGO]]*Tabla2[[#This Row],[ ANCHO ]]</f>
        <v>0</v>
      </c>
      <c r="I14" s="7">
        <f>ROUNDUP(IFERROR(ROUND((Tabla2[[#This Row],[PRECIO]]/Tabla2[[#This Row],[CABEN ]]),1),0),0)</f>
        <v>0</v>
      </c>
      <c r="J14" s="7">
        <f>ROUNDUP(Tabla2[[#This Row],[PIEZAS]]*Tabla2[[#This Row],[PRECIO X PZ ]],0)</f>
        <v>0</v>
      </c>
    </row>
    <row r="15" spans="1:10" ht="16.5" thickTop="1" thickBot="1" x14ac:dyDescent="0.3">
      <c r="A15" s="5"/>
      <c r="B15" s="6"/>
      <c r="C15" s="6"/>
      <c r="D15" s="6"/>
      <c r="E15" s="6"/>
      <c r="F15" s="6">
        <f>IFERROR(INT(270/Tabla2[[#This Row],[L (270mm)]]),0)</f>
        <v>0</v>
      </c>
      <c r="G15" s="6">
        <f>IFERROR(INT(210/Tabla2[[#This Row],[A (210mm)]]),0)</f>
        <v>0</v>
      </c>
      <c r="H15" s="6">
        <f>Tabla2[[#This Row],[LARGO]]*Tabla2[[#This Row],[ ANCHO ]]</f>
        <v>0</v>
      </c>
      <c r="I15" s="7">
        <f>ROUNDUP(IFERROR(ROUND((Tabla2[[#This Row],[PRECIO]]/Tabla2[[#This Row],[CABEN ]]),1),0),0)</f>
        <v>0</v>
      </c>
      <c r="J15" s="7">
        <f>ROUNDUP(Tabla2[[#This Row],[PIEZAS]]*Tabla2[[#This Row],[PRECIO X PZ ]],0)</f>
        <v>0</v>
      </c>
    </row>
    <row r="16" spans="1:10" ht="16.5" thickTop="1" thickBot="1" x14ac:dyDescent="0.3">
      <c r="A16" s="5"/>
      <c r="B16" s="6"/>
      <c r="C16" s="6"/>
      <c r="D16" s="6"/>
      <c r="E16" s="6"/>
      <c r="F16" s="6">
        <f>IFERROR(INT(270/Tabla2[[#This Row],[L (270mm)]]),0)</f>
        <v>0</v>
      </c>
      <c r="G16" s="6">
        <f>IFERROR(INT(210/Tabla2[[#This Row],[A (210mm)]]),0)</f>
        <v>0</v>
      </c>
      <c r="H16" s="6">
        <f>Tabla2[[#This Row],[LARGO]]*Tabla2[[#This Row],[ ANCHO ]]</f>
        <v>0</v>
      </c>
      <c r="I16" s="7">
        <f>ROUNDUP(IFERROR(ROUND((Tabla2[[#This Row],[PRECIO]]/Tabla2[[#This Row],[CABEN ]]),1),0),0)</f>
        <v>0</v>
      </c>
      <c r="J16" s="7">
        <f>ROUNDUP(Tabla2[[#This Row],[PIEZAS]]*Tabla2[[#This Row],[PRECIO X PZ ]],0)</f>
        <v>0</v>
      </c>
    </row>
    <row r="17" ht="15.75" thickTop="1" x14ac:dyDescent="0.25"/>
  </sheetData>
  <mergeCells count="2">
    <mergeCell ref="F6:G6"/>
    <mergeCell ref="F7:G7"/>
  </mergeCells>
  <conditionalFormatting sqref="C11:C16">
    <cfRule type="cellIs" dxfId="3" priority="1" operator="greaterThan">
      <formula>2440</formula>
    </cfRule>
  </conditionalFormatting>
  <conditionalFormatting sqref="D11:D16">
    <cfRule type="cellIs" dxfId="2" priority="2" operator="greaterThan">
      <formula>1220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Estrella Marlen Gomez Gomez</dc:creator>
  <cp:lastModifiedBy>Estrella Marlen Gomez Gomez</cp:lastModifiedBy>
  <dcterms:created xsi:type="dcterms:W3CDTF">2026-07-22T02:29:44Z</dcterms:created>
  <dcterms:modified xsi:type="dcterms:W3CDTF">2026-07-22T04:05:09Z</dcterms:modified>
</cp:coreProperties>
</file>